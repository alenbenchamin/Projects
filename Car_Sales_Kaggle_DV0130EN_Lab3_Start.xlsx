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Aaron\Downloads\"/>
    </mc:Choice>
  </mc:AlternateContent>
  <xr:revisionPtr revIDLastSave="0" documentId="13_ncr:1_{B3AE83F3-E322-4870-A9B0-F9C47EE4EEE9}" xr6:coauthVersionLast="47" xr6:coauthVersionMax="47" xr10:uidLastSave="{00000000-0000-0000-0000-000000000000}"/>
  <bookViews>
    <workbookView xWindow="-108" yWindow="-108" windowWidth="23256" windowHeight="1245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<sst xmlns="http://schemas.openxmlformats.org/spreadsheetml/2006/main" count="977" uniqueCount="209">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</sst>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0">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005908621611872"/>
          <c:y val="6.337135614702154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5C2C-4A36-992E-644D4C7D70A2}"/>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6307918827219767"/>
          <c:y val="5.86264656616415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69E-428D-8580-37A3826E8DF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69E-428D-8580-37A3826E8DF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69E-428D-8580-37A3826E8DF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69E-428D-8580-37A3826E8DF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69E-428D-8580-37A3826E8DF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69E-428D-8580-37A3826E8DF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F69E-428D-8580-37A3826E8DF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9059582582115"/>
          <c:y val="4.7770720602303945E-2"/>
          <c:w val="0.6374941747624322"/>
          <c:h val="0.69706258131575527"/>
        </c:manualLayout>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373E-4C1A-9570-065506577C1F}"/>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373E-4C1A-9570-065506577C1F}"/>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114301</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53340</xdr:rowOff>
    </xdr:from>
    <xdr:to>
      <xdr:col>7</xdr:col>
      <xdr:colOff>525780</xdr:colOff>
      <xdr:row>26</xdr:row>
      <xdr:rowOff>160020</xdr:rowOff>
    </xdr:to>
    <xdr:graphicFrame macro="">
      <xdr:nvGraphicFramePr>
        <xdr:cNvPr id="2" name="Chart 1">
          <a:extLst>
            <a:ext uri="{FF2B5EF4-FFF2-40B4-BE49-F238E27FC236}">
              <a16:creationId xmlns:a16="http://schemas.microsoft.com/office/drawing/2014/main" id="{9BC820A3-FC72-456C-8AC9-F7A409214EF7}"/>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121920</xdr:colOff>
      <xdr:row>0</xdr:row>
      <xdr:rowOff>22860</xdr:rowOff>
    </xdr:from>
    <xdr:to>
      <xdr:col>17</xdr:col>
      <xdr:colOff>441960</xdr:colOff>
      <xdr:row>13</xdr:row>
      <xdr:rowOff>30480</xdr:rowOff>
    </xdr:to>
    <xdr:graphicFrame macro="">
      <xdr:nvGraphicFramePr>
        <xdr:cNvPr id="3" name="Chart 2">
          <a:extLst>
            <a:ext uri="{FF2B5EF4-FFF2-40B4-BE49-F238E27FC236}">
              <a16:creationId xmlns:a16="http://schemas.microsoft.com/office/drawing/2014/main" id="{B3136695-F39F-4CBB-9679-3E5A37128F00}"/>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13</xdr:row>
      <xdr:rowOff>7620</xdr:rowOff>
    </xdr:from>
    <xdr:to>
      <xdr:col>15</xdr:col>
      <xdr:colOff>419100</xdr:colOff>
      <xdr:row>26</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317AFE6-296F-4EC3-846F-B1D074562FE1}"/>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62500" y="2385060"/>
              <a:ext cx="4800600" cy="2522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403860</xdr:colOff>
      <xdr:row>13</xdr:row>
      <xdr:rowOff>0</xdr:rowOff>
    </xdr:from>
    <xdr:to>
      <xdr:col>17</xdr:col>
      <xdr:colOff>464820</xdr:colOff>
      <xdr:row>26</xdr:row>
      <xdr:rowOff>137160</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B8F83BF9-0F48-487C-8B57-C4BFFE5B5BCC}"/>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547860" y="2377440"/>
              <a:ext cx="1280160" cy="2514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7621</xdr:colOff>
      <xdr:row>0</xdr:row>
      <xdr:rowOff>30481</xdr:rowOff>
    </xdr:from>
    <xdr:to>
      <xdr:col>6</xdr:col>
      <xdr:colOff>457200</xdr:colOff>
      <xdr:row>13</xdr:row>
      <xdr:rowOff>45720</xdr:rowOff>
    </xdr:to>
    <xdr:graphicFrame macro="">
      <xdr:nvGraphicFramePr>
        <xdr:cNvPr id="6" name="Chart 5">
          <a:extLst>
            <a:ext uri="{FF2B5EF4-FFF2-40B4-BE49-F238E27FC236}">
              <a16:creationId xmlns:a16="http://schemas.microsoft.com/office/drawing/2014/main" id="{D6E7F8D3-7A87-4485-8CA7-58B3D9846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449580</xdr:colOff>
      <xdr:row>0</xdr:row>
      <xdr:rowOff>0</xdr:rowOff>
    </xdr:from>
    <xdr:to>
      <xdr:col>9</xdr:col>
      <xdr:colOff>99060</xdr:colOff>
      <xdr:row>13</xdr:row>
      <xdr:rowOff>60960</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2F799A46-C3DA-45F9-8904-479D450E7192}"/>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4107180" y="0"/>
              <a:ext cx="147828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119">
      <pivotArea outline="0" collapsedLevelsAreSubtotals="1" fieldPosition="0">
        <references count="1">
          <reference field="4294967294" count="1" selected="0">
            <x v="0"/>
          </reference>
        </references>
      </pivotArea>
    </format>
    <format dxfId="118">
      <pivotArea dataOnly="0" labelOnly="1" outline="0" fieldPosition="0">
        <references count="1">
          <reference field="4294967294" count="1">
            <x v="0"/>
          </reference>
        </references>
      </pivotArea>
    </format>
    <format dxfId="117">
      <pivotArea outline="0" collapsedLevelsAreSubtotals="1" fieldPosition="0">
        <references count="1">
          <reference field="4294967294" count="1" selected="0">
            <x v="1"/>
          </reference>
        </references>
      </pivotArea>
    </format>
    <format dxfId="116">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84F96741-0170-458E-A996-F3305EB21022}" cache="Slicer_Manufacturer" caption="Manufacturer" startItem="22"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B68ACED-A692-422F-9D60-8292B5ABBE95}"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139" headerRowCellStyle="60% - Accent1">
  <autoFilter ref="A1:S156" xr:uid="{142A1155-8F99-4580-8274-3FFCD265F860}"/>
  <tableColumns count="19">
    <tableColumn id="2" xr3:uid="{0090DD31-AAEF-418B-A6D5-5A47F973884A}" name="Manufacturer" dataDxfId="138" dataCellStyle="60% - Accent2"/>
    <tableColumn id="1" xr3:uid="{1D457C4B-D2B8-4760-9FBD-20980339C812}" name="Model" dataDxfId="137" dataCellStyle="60% - Accent6"/>
    <tableColumn id="4" xr3:uid="{8522711B-6353-4D72-9921-4036DEB24699}" name="Unit Sales" dataDxfId="136"/>
    <tableColumn id="5" xr3:uid="{3F2EFF05-CEC1-43C4-8457-EC0A04BFE37D}" name="Price" dataDxfId="135"/>
    <tableColumn id="6" xr3:uid="{D0C7E9A3-6A78-4834-995F-71A07F7E5FEC}" name="Year Resale Value" dataDxfId="134"/>
    <tableColumn id="7" xr3:uid="{2892AE5C-2583-41F9-9297-9EA4C2895B5F}" name="Retention %" dataDxfId="133" dataCellStyle="Percent">
      <calculatedColumnFormula>SUM(E2/D2)</calculatedColumnFormula>
    </tableColumn>
    <tableColumn id="8" xr3:uid="{40A7E790-705B-474C-BD5E-B93CFDEAAD37}" name="Retention Value" dataDxfId="132" dataCellStyle="Percent">
      <calculatedColumnFormula>IF(F2&gt;69%, "GOOD", "POOR")</calculatedColumnFormula>
    </tableColumn>
    <tableColumn id="9" xr3:uid="{9FD1D782-0EB9-4AC8-9FB6-1F5437BC6100}" name="Engine Size" dataDxfId="131"/>
    <tableColumn id="10" xr3:uid="{97F7DE8D-9589-426B-AA4F-2E3F8BB7A81B}" name="Horsepower" dataDxfId="130"/>
    <tableColumn id="11" xr3:uid="{4CB9C68E-A6F1-497A-9877-E41495059145}" name="HP Level" dataDxfId="129">
      <calculatedColumnFormula array="1">_xlfn.IFS(I2&gt;299,"High HP",I2&gt;99,"Medium HP",I2&lt;100,"Low HP")</calculatedColumnFormula>
    </tableColumn>
    <tableColumn id="3" xr3:uid="{3733B2DD-D65D-439A-9EC2-28F65DC369D7}" name="Vehicle_type" dataDxfId="128"/>
    <tableColumn id="17" xr3:uid="{5136D0F0-2F8F-4D70-995F-CE39B1996127}" name="Fuel Efficiency" dataDxfId="127"/>
    <tableColumn id="19" xr3:uid="{5F133F36-F1C6-453A-A10C-A9917A623804}" name="Power Perf Factor" dataDxfId="126"/>
    <tableColumn id="12" xr3:uid="{6E551230-1170-40DA-8649-BDDA922271D8}" name="Wheelbase" dataDxfId="125"/>
    <tableColumn id="13" xr3:uid="{53A36FF3-E823-43B4-958B-9E02EC2B56F7}" name="Width" dataDxfId="124"/>
    <tableColumn id="14" xr3:uid="{0728B768-EB40-4E54-9F8B-8FC310D3272C}" name="Length" dataDxfId="123"/>
    <tableColumn id="15" xr3:uid="{2264EB11-0818-4B2A-A027-42B066FA9869}" name="Curb Weight" dataDxfId="122"/>
    <tableColumn id="16" xr3:uid="{58B24934-BE7E-4FBD-9F96-CEF0725C6117}" name="Fuel Capacity" dataDxfId="121"/>
    <tableColumn id="18" xr3:uid="{00FF364F-DDBE-4E2C-8F3E-DBDA321FA22A}" name="Latest Launch" dataDxfId="12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15"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114" dataCellStyle="60% - Accent2"/>
    <tableColumn id="1" xr3:uid="{91732ACF-B59B-4736-A06E-BE7ADB4669C2}" name="Model" dataDxfId="113" dataCellStyle="60% - Accent6"/>
    <tableColumn id="4" xr3:uid="{AC38EB39-9FE7-4815-9A95-BD4739621249}" name="Unit Sales" dataDxfId="112"/>
    <tableColumn id="5" xr3:uid="{48155666-2FFE-4435-98FA-77A71F62A4CD}" name="Price" dataDxfId="111"/>
    <tableColumn id="6" xr3:uid="{E6C9B305-43C4-4AA9-AF99-52F226A2A489}" name="Year Resale Value" dataDxfId="110"/>
    <tableColumn id="7" xr3:uid="{53AB75B2-B4C7-4B08-A310-E333B5D08F1E}" name="Retention %" dataDxfId="109" dataCellStyle="Percent">
      <calculatedColumnFormula>SUM(E2/D2)</calculatedColumnFormula>
    </tableColumn>
    <tableColumn id="8" xr3:uid="{14C0ED08-C800-44FC-AEFF-AD4CB3BA4CE3}" name="Retention Value" dataDxfId="108" dataCellStyle="Percent">
      <calculatedColumnFormula>IF(F2&gt;69%, "GOOD", "POOR")</calculatedColumnFormula>
    </tableColumn>
    <tableColumn id="9" xr3:uid="{2D1C7A45-6CF4-4F66-812C-40A50CEEFE3C}" name="Engine Size" dataDxfId="107"/>
    <tableColumn id="10" xr3:uid="{6F868495-C5F3-4EB0-A931-7DB5EE263B04}" name="Horsepower" dataDxfId="106"/>
    <tableColumn id="11" xr3:uid="{21D8283C-331B-4FBC-ADCB-511EC8FEEA5B}" name="HP Level" dataDxfId="105">
      <calculatedColumnFormula array="1">_xlfn.IFS(I2&gt;299,"High HP",I2&gt;99,"Medium HP",I2&lt;100,"Low HP")</calculatedColumnFormula>
    </tableColumn>
    <tableColumn id="3" xr3:uid="{D8DD2294-3DBB-4222-BDE1-25B41E8C6E23}" name="Vehicle_type" dataDxfId="104"/>
    <tableColumn id="17" xr3:uid="{41974CDD-17C2-4811-8CA1-4FE62EF36874}" name="Fuel Efficiency" dataDxfId="103"/>
    <tableColumn id="19" xr3:uid="{FF974689-EC10-4BD7-931E-F6D2FC8A04BB}" name="Power Perf Factor" dataDxfId="102"/>
    <tableColumn id="16" xr3:uid="{A47D6D7B-55BF-4939-8425-7A7DC0E408AE}" name="Fuel Capacity" dataDxfId="101"/>
    <tableColumn id="12" xr3:uid="{59E0B2CA-E73A-4CDD-A62F-F1A4C75E90F7}" name="Wheelbase" dataDxfId="100"/>
    <tableColumn id="13" xr3:uid="{1318511A-327E-4603-9CFA-8A67BC21BEB8}" name="Width" dataDxfId="99"/>
    <tableColumn id="14" xr3:uid="{B48108FE-8EF4-43AB-ACEA-F7B30A9D3C55}" name="Length" dataDxfId="98"/>
    <tableColumn id="15" xr3:uid="{1C70CD07-6AE4-4D29-95C6-1D02DF8772F3}" name="Curb Weight" dataDxfId="97"/>
    <tableColumn id="18" xr3:uid="{801588FA-173B-403F-BAF7-D1F66FFF62EA}" name="Latest Launch" dataDxfId="96"/>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L99" zoomScale="156" zoomScaleNormal="66"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95" priority="3" operator="containsText" text="POOR">
      <formula>NOT(ISERROR(SEARCH("POOR",G2)))</formula>
    </cfRule>
    <cfRule type="containsText" dxfId="94"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B4" zoomScale="73" workbookViewId="0">
      <selection activeCell="T26" sqref="T26"/>
    </sheetView>
  </sheetViews>
  <sheetFormatPr defaultColWidth="8.77734375" defaultRowHeight="14.4" x14ac:dyDescent="0.3"/>
  <cols>
    <col min="1" max="1" width="13.33203125" bestFit="1" customWidth="1"/>
    <col min="2" max="2" width="25.6640625" style="17" bestFit="1" customWidth="1"/>
    <col min="3" max="3" width="14.777343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24</v>
      </c>
      <c r="B4" s="17">
        <v>28270</v>
      </c>
      <c r="C4" s="17">
        <v>39980</v>
      </c>
    </row>
    <row r="5" spans="1:3" x14ac:dyDescent="0.3">
      <c r="A5" s="16" t="s">
        <v>28</v>
      </c>
      <c r="B5" s="17">
        <v>29766.666666666668</v>
      </c>
      <c r="C5" s="17">
        <v>33096.666666666664</v>
      </c>
    </row>
    <row r="6" spans="1:3" x14ac:dyDescent="0.3">
      <c r="A6" s="16" t="s">
        <v>129</v>
      </c>
      <c r="B6" s="17">
        <v>39876.555555555555</v>
      </c>
      <c r="C6" s="17">
        <v>52916.666666666664</v>
      </c>
    </row>
    <row r="7" spans="1:3" x14ac:dyDescent="0.3">
      <c r="A7" s="16" t="s">
        <v>165</v>
      </c>
      <c r="B7" s="17">
        <v>56475</v>
      </c>
      <c r="C7" s="17">
        <v>62473.333333333336</v>
      </c>
    </row>
    <row r="8" spans="1:3" x14ac:dyDescent="0.3">
      <c r="A8" s="16" t="s">
        <v>191</v>
      </c>
      <c r="B8" s="17">
        <v>13951.833333333334</v>
      </c>
      <c r="C8" s="17">
        <v>17698.333333333332</v>
      </c>
    </row>
    <row r="9" spans="1:3" x14ac:dyDescent="0.3">
      <c r="A9" s="16" t="s">
        <v>208</v>
      </c>
      <c r="B9" s="17">
        <v>32755.625</v>
      </c>
      <c r="C9" s="17">
        <v>41212.083333333336</v>
      </c>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activeCell="K181" sqref="K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93" priority="1" operator="containsText" text="POOR">
      <formula>NOT(ISERROR(SEARCH("POOR",G2)))</formula>
    </cfRule>
    <cfRule type="containsText" dxfId="92"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AB4A-9D8B-45A1-A586-F8E1D0681AC9}">
  <dimension ref="A1"/>
  <sheetViews>
    <sheetView showGridLines="0" showRowColHeaders="0" tabSelected="1" zoomScaleNormal="100" workbookViewId="0">
      <selection activeCell="R31" sqref="R31"/>
    </sheetView>
  </sheetViews>
  <sheetFormatPr defaultRowHeight="14.4" x14ac:dyDescent="0.3"/>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Alen B</cp:lastModifiedBy>
  <cp:revision/>
  <dcterms:created xsi:type="dcterms:W3CDTF">2020-05-21T14:49:04Z</dcterms:created>
  <dcterms:modified xsi:type="dcterms:W3CDTF">2026-03-11T09:41:12Z</dcterms:modified>
  <cp:category/>
  <cp:contentStatus/>
</cp:coreProperties>
</file>